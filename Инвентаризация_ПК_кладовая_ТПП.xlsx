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вентаризация" sheetId="1" state="visible" r:id="rId3"/>
    <sheet name="Дефицит комплектующих" sheetId="2" state="visible" r:id="rId4"/>
    <sheet name="Рекомендации" sheetId="3" state="visible" r:id="rId5"/>
    <sheet name="Комплектующие (россыпь)" sheetId="4" state="visible" r:id="rId6"/>
  </sheets>
  <definedNames>
    <definedName function="false" hidden="true" localSheetId="0" name="_xlnm._FilterDatabase" vbProcedure="false">Инвентаризация!$A$1:$R$8</definedName>
    <definedName function="false" hidden="true" localSheetId="3" name="_xlnm._FilterDatabase" vbProcedure="false">'Комплектующие (россыпь)'!$A$1:$I$20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<sst xmlns="http://schemas.openxmlformats.org/spreadsheetml/2006/main" count="375" uniqueCount="252">
  <si>
    <t xml:space="preserve">№</t>
  </si>
  <si>
    <t xml:space="preserve">Серийный / инв. номер</t>
  </si>
  <si>
    <t xml:space="preserve">Модель</t>
  </si>
  <si>
    <t xml:space="preserve">Форм-фактор</t>
  </si>
  <si>
    <t xml:space="preserve">Материнская плата</t>
  </si>
  <si>
    <t xml:space="preserve">Процессор</t>
  </si>
  <si>
    <t xml:space="preserve">Ядра / частота</t>
  </si>
  <si>
    <t xml:space="preserve">TDP</t>
  </si>
  <si>
    <t xml:space="preserve">Графика</t>
  </si>
  <si>
    <t xml:space="preserve">ОЗУ (установлено)</t>
  </si>
  <si>
    <t xml:space="preserve">Слоты ОЗУ / макс.</t>
  </si>
  <si>
    <t xml:space="preserve">Тип памяти</t>
  </si>
  <si>
    <t xml:space="preserve">Накопитель</t>
  </si>
  <si>
    <t xml:space="preserve">S/N накопителя</t>
  </si>
  <si>
    <t xml:space="preserve">Блок питания</t>
  </si>
  <si>
    <t xml:space="preserve">Состояние</t>
  </si>
  <si>
    <t xml:space="preserve">Что нужно для запуска</t>
  </si>
  <si>
    <t xml:space="preserve">Примечания</t>
  </si>
  <si>
    <t xml:space="preserve">PC00Q3LX</t>
  </si>
  <si>
    <t xml:space="preserve">Lenovo ThinkCentre M715s (10MCS02600)</t>
  </si>
  <si>
    <t xml:space="preserve">SFF</t>
  </si>
  <si>
    <t xml:space="preserve">Lenovo AM4P2MS</t>
  </si>
  <si>
    <t xml:space="preserve">AMD PRO A8-8670E (AD867BAHM44AB)</t>
  </si>
  <si>
    <t xml:space="preserve">4C/4T, 2.8–3.3 ГГц</t>
  </si>
  <si>
    <t xml:space="preserve">35 Вт</t>
  </si>
  <si>
    <t xml:space="preserve">Radeon R7 (встроенная)</t>
  </si>
  <si>
    <t xml:space="preserve">Нет</t>
  </si>
  <si>
    <t xml:space="preserve">4 × DIMM / до 64 ГБ</t>
  </si>
  <si>
    <t xml:space="preserve">DDR4-2400 UDIMM</t>
  </si>
  <si>
    <t xml:space="preserve">SSD Apacer AP120GAS340G, 120 ГБ SATA</t>
  </si>
  <si>
    <t xml:space="preserve">19Z34A505151</t>
  </si>
  <si>
    <t xml:space="preserve">Lenovo (штатный)</t>
  </si>
  <si>
    <t xml:space="preserve">Не проверен — нет ОЗУ</t>
  </si>
  <si>
    <t xml:space="preserve">1–2 планки DDR4 UDIMM</t>
  </si>
  <si>
    <t xml:space="preserve">Разобран, комплектующие в коробке; кулер в комплекте</t>
  </si>
  <si>
    <t xml:space="preserve">PC0PHYZ7</t>
  </si>
  <si>
    <t xml:space="preserve">Lenovo AM4P2MS (FRU 3090Z336AFD2)</t>
  </si>
  <si>
    <t xml:space="preserve">8 ГБ KEMBONA KBN24N17S8/8</t>
  </si>
  <si>
    <t xml:space="preserve">SSD Teelkoou 128 ГБ SATA</t>
  </si>
  <si>
    <t xml:space="preserve">128GB3DTC20231223506</t>
  </si>
  <si>
    <t xml:space="preserve">Требует обслуживания</t>
  </si>
  <si>
    <t xml:space="preserve">Замена термопасты, установка кулера</t>
  </si>
  <si>
    <t xml:space="preserve">Термопаста засохла, кулер снят</t>
  </si>
  <si>
    <t xml:space="preserve">НЕ ЗАФИКСИРОВАН</t>
  </si>
  <si>
    <t xml:space="preserve">128GB3DTC20231223523</t>
  </si>
  <si>
    <t xml:space="preserve">Не проверен</t>
  </si>
  <si>
    <t xml:space="preserve">Снять серийный номер, тест запуска</t>
  </si>
  <si>
    <t xml:space="preserve">Память в одном слоте (одноканал)</t>
  </si>
  <si>
    <t xml:space="preserve">128GB3DTC20231223461</t>
  </si>
  <si>
    <t xml:space="preserve">Память в нижнем синем слоте — сверить с мануалом</t>
  </si>
  <si>
    <t xml:space="preserve">8 ГБ COMPIT CMPTDDR48GBD2400 (S/N D4824102209320)</t>
  </si>
  <si>
    <t xml:space="preserve">192345400312</t>
  </si>
  <si>
    <t xml:space="preserve">Другой поставщик ОЗУ и SSD</t>
  </si>
  <si>
    <t xml:space="preserve">8 ГБ COMPIT CMPTDDR48GBD2400 (S/N D4824102204273)</t>
  </si>
  <si>
    <t xml:space="preserve">128GB3DTC20231223557</t>
  </si>
  <si>
    <t xml:space="preserve">Комплектующие смешаны из двух партий</t>
  </si>
  <si>
    <t xml:space="preserve">СБ/054909-170718-3</t>
  </si>
  <si>
    <t xml:space="preserve">Самосборка (модели нет)</t>
  </si>
  <si>
    <t xml:space="preserve">mini-ITX slim desktop</t>
  </si>
  <si>
    <t xml:space="preserve">GIGABYTE GA-J1800N-D2H (осн.) + ASUS J1800I-C (снята, S/N GCM0AJ021083) — обе с SO-DIMM</t>
  </si>
  <si>
    <t xml:space="preserve">Intel Celeron J1800 (распаян)</t>
  </si>
  <si>
    <t xml:space="preserve">2C/2T, 2.41–2.58 ГГц</t>
  </si>
  <si>
    <t xml:space="preserve">10 Вт</t>
  </si>
  <si>
    <t xml:space="preserve">Intel HD Graphics (в SoC)</t>
  </si>
  <si>
    <t xml:space="preserve">2 × SO-DIMM / до 8 ГБ</t>
  </si>
  <si>
    <t xml:space="preserve">DDR3L-1333 SO-DIMM (обе платы)</t>
  </si>
  <si>
    <t xml:space="preserve">HDD HGST HTS545050A7E680, 500 ГБ, 5400 об/мин</t>
  </si>
  <si>
    <t xml:space="preserve">M5HTMTXJ (P/N 0J38065, DEC-17)</t>
  </si>
  <si>
    <t xml:space="preserve">POWERMAN (наклейка 2018)</t>
  </si>
  <si>
    <t xml:space="preserve">Не работоспособен — нет ОЗУ</t>
  </si>
  <si>
    <t xml:space="preserve">Планки DDR3L SO-DIMM; проверить SMART диска</t>
  </si>
  <si>
    <t xml:space="preserve">Пассивное охлаждение; slim ODD; две платы в одной учётной единице</t>
  </si>
  <si>
    <t xml:space="preserve">СВОДКА</t>
  </si>
  <si>
    <t xml:space="preserve">Всего машин в кладовке</t>
  </si>
  <si>
    <t xml:space="preserve">Из них Lenovo ThinkCentre M715s</t>
  </si>
  <si>
    <t xml:space="preserve">Машин без ОЗУ (не запускаются)</t>
  </si>
  <si>
    <t xml:space="preserve">Серийных номеров не зафиксировано</t>
  </si>
  <si>
    <t xml:space="preserve">Суммарно установлено ОЗУ, ГБ</t>
  </si>
  <si>
    <t xml:space="preserve">Примечание: 5 машин × 8 ГБ = 40 ГБ. Значение введено вручную, т.к. объём указан текстом.</t>
  </si>
  <si>
    <t xml:space="preserve">Позиция</t>
  </si>
  <si>
    <t xml:space="preserve">Для каких машин</t>
  </si>
  <si>
    <t xml:space="preserve">Кол-во</t>
  </si>
  <si>
    <t xml:space="preserve">Тип / требование</t>
  </si>
  <si>
    <t xml:space="preserve">Приоритет</t>
  </si>
  <si>
    <t xml:space="preserve">Комментарий</t>
  </si>
  <si>
    <t xml:space="preserve">ОЗУ DDR4-2400 UDIMM 8 ГБ</t>
  </si>
  <si>
    <t xml:space="preserve">ПК №1</t>
  </si>
  <si>
    <t xml:space="preserve">Полноразмерный DIMM, non-ECC, 288-pin</t>
  </si>
  <si>
    <t xml:space="preserve">Закрыт</t>
  </si>
  <si>
    <t xml:space="preserve">ЗАКРЫТО: в россыпи найдена планка Patriot 8 ГБ DDR4-3200 (поз. 5), подходит к M715s.</t>
  </si>
  <si>
    <t xml:space="preserve">ОЗУ DDR3L-1333 SO-DIMM</t>
  </si>
  <si>
    <t xml:space="preserve">ПК №7 (обе платы)</t>
  </si>
  <si>
    <t xml:space="preserve">1–2</t>
  </si>
  <si>
    <t xml:space="preserve">SO-DIMM 204-pin, до 8 ГБ суммарно</t>
  </si>
  <si>
    <t xml:space="preserve">ЗАКРЫТО: в россыпи 4 планки DDR3 SO-DIMM по 4 ГБ (поз. 11–14). Рекомендуемая пара — поз. 12 и 13.</t>
  </si>
  <si>
    <t xml:space="preserve">Термопаста</t>
  </si>
  <si>
    <t xml:space="preserve">ПК №2 (минимум)</t>
  </si>
  <si>
    <t xml:space="preserve">Любая стандартная (КПТ-8, Arctic MX-4)</t>
  </si>
  <si>
    <t xml:space="preserve">Высокий</t>
  </si>
  <si>
    <t xml:space="preserve">Старая паста растрескалась. Проверить и на остальных машинах.</t>
  </si>
  <si>
    <t xml:space="preserve">ОЗУ DDR4-2400 UDIMM 8 ГБ (для двухканала)</t>
  </si>
  <si>
    <t xml:space="preserve">ПК №2–6</t>
  </si>
  <si>
    <t xml:space="preserve">до 5</t>
  </si>
  <si>
    <t xml:space="preserve">Парные планки к установленным</t>
  </si>
  <si>
    <t xml:space="preserve">Низкий</t>
  </si>
  <si>
    <t xml:space="preserve">Опционально. Свободной DDR4 в россыпи только одна планка (поз. 5) — она уже нужна для ПК №1 либо для сборки на H310M.</t>
  </si>
  <si>
    <t xml:space="preserve">SSD на замену HDD</t>
  </si>
  <si>
    <t xml:space="preserve">ПК №7</t>
  </si>
  <si>
    <t xml:space="preserve">2.5" SATA</t>
  </si>
  <si>
    <t xml:space="preserve">ЗАКРЫТО: в россыпи три свободных SATA SSD (поз. 7–9). Диск для ПК №7 брать оттуда.</t>
  </si>
  <si>
    <t xml:space="preserve">Корпус micro-ATX + БП + кулер LGA1151</t>
  </si>
  <si>
    <t xml:space="preserve">Сборка на H310M S2V 2.0</t>
  </si>
  <si>
    <t xml:space="preserve">1 компл.</t>
  </si>
  <si>
    <t xml:space="preserve">Корпус micro-ATX, БП от 300 Вт, кулер под LGA1151 (TDP 65 Вт)</t>
  </si>
  <si>
    <t xml:space="preserve">Единственное, чего не хватает для сборки: всё остальное (плата, CPU, ОЗУ, SSD, видеокарта) есть в наличии.</t>
  </si>
  <si>
    <t xml:space="preserve">Переходник M.2 NVMe → PCIe x16</t>
  </si>
  <si>
    <t xml:space="preserve">SSD Patriot P300 256 ГБ</t>
  </si>
  <si>
    <t xml:space="preserve">Адаптер PCIe x4/x16 под M.2 2280 (ключ M)</t>
  </si>
  <si>
    <t xml:space="preserve">У H310M S2V 2.0 нет M.2. После установки проверить загрузку с NVMe в UEFI.</t>
  </si>
  <si>
    <t xml:space="preserve">ПК</t>
  </si>
  <si>
    <t xml:space="preserve">Класс производительности</t>
  </si>
  <si>
    <t xml:space="preserve">Пригодно для</t>
  </si>
  <si>
    <t xml:space="preserve">Не пригодно для</t>
  </si>
  <si>
    <t xml:space="preserve">Действие</t>
  </si>
  <si>
    <t xml:space="preserve">№1 PC00Q3LX</t>
  </si>
  <si>
    <t xml:space="preserve">Офисный (Excavator, 2017)</t>
  </si>
  <si>
    <t xml:space="preserve">Тонкий клиент, терминал, рабочее место с браузером и офисом</t>
  </si>
  <si>
    <t xml:space="preserve">ML, видеомонтаж, современные игры</t>
  </si>
  <si>
    <t xml:space="preserve">Докупить ОЗУ, собрать, протестировать</t>
  </si>
  <si>
    <t xml:space="preserve">№2 PC0PHYZ7</t>
  </si>
  <si>
    <t xml:space="preserve">Офисный</t>
  </si>
  <si>
    <t xml:space="preserve">То же</t>
  </si>
  <si>
    <t xml:space="preserve">Заменить термопасту, поставить кулер, протестировать</t>
  </si>
  <si>
    <t xml:space="preserve">№3–6</t>
  </si>
  <si>
    <t xml:space="preserve">Офисные рабочие места, Linux-станции, стенды для тестов</t>
  </si>
  <si>
    <t xml:space="preserve">Снять серийники, прогнать Memtest86, протестировать запуск</t>
  </si>
  <si>
    <t xml:space="preserve">№7 СБ/054909-170718-3</t>
  </si>
  <si>
    <t xml:space="preserve">Слабый (Celeron J1800, 10 Вт)</t>
  </si>
  <si>
    <t xml:space="preserve">Тихий домашний/офисный сервер: AdGuard Home, Tailscale-нода, резервный узел</t>
  </si>
  <si>
    <t xml:space="preserve">Десктопная работа, даже браузер</t>
  </si>
  <si>
    <t xml:space="preserve">Докупить SO-DIMM, снять SMART с HDD, рассмотреть под резервный сервер</t>
  </si>
  <si>
    <t xml:space="preserve">Источники спецификаций</t>
  </si>
  <si>
    <t xml:space="preserve">AMD PRO A8-8670E (OPN AD867BAHM44AB): 4C/4T, 2.8–3.3 ГГц, TDP 35 Вт, Radeon R7, DDR4-2400 двухканал. Маркировка на крышке «A8-8600E Series» — обозначение серии OEM-партии, не модели.</t>
  </si>
  <si>
    <t xml:space="preserve">Lenovo ThinkCentre M715s: сокет AM4, 4 × DIMM DDR4-2400 UDIMM non-ECC, до 64 ГБ (PSREF Lenovo).</t>
  </si>
  <si>
    <t xml:space="preserve">GIGABYTE GA-J1800N-D2H: Celeron J1800 распаян, 2 × SO-DIMM DDR3/DDR3L-1333, до 8 ГБ, 2 × SATA 3 Гбит/с, пассивное охлаждение (спецификация GIGABYTE).</t>
  </si>
  <si>
    <t xml:space="preserve">Данные по серийным номерам и комплектации — с фотографий, сделанных при осмотре кладовки.</t>
  </si>
  <si>
    <t xml:space="preserve">Категория</t>
  </si>
  <si>
    <t xml:space="preserve">Наименование / маркировка</t>
  </si>
  <si>
    <t xml:space="preserve">Характеристики</t>
  </si>
  <si>
    <t xml:space="preserve">Подходит к</t>
  </si>
  <si>
    <t xml:space="preserve">Вывод</t>
  </si>
  <si>
    <t xml:space="preserve">ОЗУ</t>
  </si>
  <si>
    <t xml:space="preserve">Silicon Power SP002GBLTU133V02</t>
  </si>
  <si>
    <t xml:space="preserve">DDR3-1333, CL9, 2 ГБ, 1.5 В, чипы Elpida</t>
  </si>
  <si>
    <t xml:space="preserve">DIMM 240-pin (полноразмерный)</t>
  </si>
  <si>
    <t xml:space="preserve">1 (уточнить)</t>
  </si>
  <si>
    <t xml:space="preserve">Не проверена</t>
  </si>
  <si>
    <t xml:space="preserve">Ни к одной машине из кладовки</t>
  </si>
  <si>
    <t xml:space="preserve">ThinkCentre M715s — DDR4, не подходит. Сборка №7 — SO-DIMM, не подходит. Хранить как запчасть под старые ПК или списать.</t>
  </si>
  <si>
    <t xml:space="preserve">SSD (NVMe)</t>
  </si>
  <si>
    <t xml:space="preserve">Patriot P300 256 ГБ (P300P256GM28)</t>
  </si>
  <si>
    <t xml:space="preserve">M.2 PCIe Gen3 x4 NVMe, S/N 022311011903577</t>
  </si>
  <si>
    <t xml:space="preserve">M.2 2280</t>
  </si>
  <si>
    <t xml:space="preserve">Новый, в упаковке</t>
  </si>
  <si>
    <t xml:space="preserve">Ни к одной плате напрямую</t>
  </si>
  <si>
    <t xml:space="preserve">У H310M S2V 2.0 нет разъёма M.2 (только 4 × SATA). Возможна установка через переходник M.2 → PCIe x16 с проверкой загрузки в UEFI.</t>
  </si>
  <si>
    <t xml:space="preserve">GIGABYTE H310M S2V 2.0 (S/N B42E992CE8EA)</t>
  </si>
  <si>
    <t xml:space="preserve">LGA1151, чипсет Intel H310, 2 × DDR4 DIMM до 32 ГБ (2666/2400/2133), 4 × SATA 6 Гбит/с, PCIe x16 3.0 + PCIe x1 2.0, D-Sub + DVI-D, GbE</t>
  </si>
  <si>
    <t xml:space="preserve">micro-ATX, 19.0 × 17.4 см</t>
  </si>
  <si>
    <t xml:space="preserve">Б/у, с процессором</t>
  </si>
  <si>
    <t xml:space="preserve">Самостоятельная сборка</t>
  </si>
  <si>
    <t xml:space="preserve">Разъёма M.2 нет. Память DDR4-2400 из ThinkCentre подходит напрямую.</t>
  </si>
  <si>
    <t xml:space="preserve">Intel Core i3-8100 (SR3N5)</t>
  </si>
  <si>
    <t xml:space="preserve">4 ядра / 4 потока, 3.60 ГГц, LGA1151, UHD Graphics 630, партия X920E439</t>
  </si>
  <si>
    <t xml:space="preserve">LGA1151</t>
  </si>
  <si>
    <t xml:space="preserve">Установлен на плате поз. 3</t>
  </si>
  <si>
    <t xml:space="preserve">GIGABYTE H310M S2V 2.0 (поз. 3)</t>
  </si>
  <si>
    <t xml:space="preserve">Самый производительный CPU в кладовке. Заметно быстрее AMD A8-8670E из ThinkCentre.</t>
  </si>
  <si>
    <t xml:space="preserve">Patriot Signature Line PSD48G32002</t>
  </si>
  <si>
    <t xml:space="preserve">DDR4-3200 (PC4-25600), 8 ГБ, CL22 (22-22-22-52), 1.2V, non-ECC, single rank</t>
  </si>
  <si>
    <t xml:space="preserve">DIMM 288-pin</t>
  </si>
  <si>
    <t xml:space="preserve">Новая, в блистере</t>
  </si>
  <si>
    <t xml:space="preserve">ThinkCentre M715s; H310M S2V 2.0</t>
  </si>
  <si>
    <t xml:space="preserve">Совместима с обеими платформами. На i3-8100 и на A8-8670E будет работать на 2400 МГц — выше платформы не поддерживают.</t>
  </si>
  <si>
    <t xml:space="preserve">Patriot Signature Line (блистер PSD48G32002)</t>
  </si>
  <si>
    <t xml:space="preserve">На упаковке 8 ГБ DDR4-3200; на модуле наклейка Hynix «4GB 1Rx8 HMA451...», дата 19-46. Наклейка Ozon, склад КУРСК_232</t>
  </si>
  <si>
    <t xml:space="preserve">В блистере, НЕ ВСКРЫТА</t>
  </si>
  <si>
    <t xml:space="preserve">Уточнить после вскрытия</t>
  </si>
  <si>
    <t xml:space="preserve">РАСХОЖДЕНИЕ: упаковка заявляет 8 ГБ, модуль внутри похож на 4 ГБ. Проверить объём и частоту при установке.</t>
  </si>
  <si>
    <t xml:space="preserve">SSD (SATA)</t>
  </si>
  <si>
    <t xml:space="preserve">HP SSD S600 120 ГБ</t>
  </si>
  <si>
    <t xml:space="preserve">2.5" SATA, S/N HBSA11130300357, P/N 4FZ32AA#ABB</t>
  </si>
  <si>
    <t xml:space="preserve">Б/у, не проверен</t>
  </si>
  <si>
    <t xml:space="preserve">Любая машина с SATA</t>
  </si>
  <si>
    <t xml:space="preserve">Проверить SMART перед использованием.</t>
  </si>
  <si>
    <t xml:space="preserve">Foxline FLSSD240X5SE 240 ГБ</t>
  </si>
  <si>
    <t xml:space="preserve">2.5" SATA, S/N 201903190156</t>
  </si>
  <si>
    <t xml:space="preserve">Самый ёмкий SATA-накопитель в россыпи. Кандидат под систему для сборки на H310M.</t>
  </si>
  <si>
    <t xml:space="preserve">Apacer AP120GAS340G 120 ГБ</t>
  </si>
  <si>
    <t xml:space="preserve">2.5" SATA, S/N 192345400311</t>
  </si>
  <si>
    <t xml:space="preserve">Третий Apacer в парке; серийник отличается от установленных в ПК №1 и №5.</t>
  </si>
  <si>
    <t xml:space="preserve">Видеокарта</t>
  </si>
  <si>
    <t xml:space="preserve">Palit GeForce GT 1030 2 ГБ DDR4</t>
  </si>
  <si>
    <t xml:space="preserve">2 ГБ DDR4, шина 64 бит, выходы DVI-D + HDMI, P/N NEC103000646-1082F, S/N T91R0038467</t>
  </si>
  <si>
    <t xml:space="preserve">PCIe x16, низкопрофильная</t>
  </si>
  <si>
    <t xml:space="preserve">Б/у, вентилятор сильно запылён</t>
  </si>
  <si>
    <t xml:space="preserve">H310M S2V 2.0 (PCIe x16)</t>
  </si>
  <si>
    <t xml:space="preserve">Добавляет плате выход HDMI, которого у неё нет. Версия на DDR4 примерно вдвое медленнее GDDR5. Перед установкой почистить вентилятор.</t>
  </si>
  <si>
    <t xml:space="preserve">ОЗУ (SO-DIMM)</t>
  </si>
  <si>
    <t xml:space="preserve">Patriot PSD34G1600L81S</t>
  </si>
  <si>
    <t xml:space="preserve">DDR3L-1600 (PC3-12800), 4 ГБ, 1.35 В, S/N PS1072-046737</t>
  </si>
  <si>
    <t xml:space="preserve">SO-DIMM 204-pin</t>
  </si>
  <si>
    <t xml:space="preserve">Б/у, не проверена</t>
  </si>
  <si>
    <t xml:space="preserve">Родное напряжение 1.35 В — оптимально для плат на J1800.</t>
  </si>
  <si>
    <t xml:space="preserve">Patriot PSD34G13332S</t>
  </si>
  <si>
    <t xml:space="preserve">DDR3-1333 (PC3-10600), CL9, 4 ГБ, S/N 212310041301082</t>
  </si>
  <si>
    <t xml:space="preserve">Частота 1333 — родная для J1800. Составляет пару с поз. 13 (одна партия).</t>
  </si>
  <si>
    <t xml:space="preserve">DDR3-1333 (PC3-10600), CL9, 4 ГБ, S/N 212310041301099</t>
  </si>
  <si>
    <t xml:space="preserve">Пара к поз. 12. РЕКОМЕНДУЕТСЯ: вдвоём дают 8 ГБ — максимум для платформы, в двухканале.</t>
  </si>
  <si>
    <t xml:space="preserve">Apacer AS04GFA60CATBGJ</t>
  </si>
  <si>
    <t xml:space="preserve">PC3-12800 (DDR3-1600), CL11, 4 ГБ, 1.35 В, S/N 171838200947</t>
  </si>
  <si>
    <t xml:space="preserve">Напряжение 1.35 В. Запасной вариант либо пара к поз. 11.</t>
  </si>
  <si>
    <t xml:space="preserve">ОЗУ (DIMM)</t>
  </si>
  <si>
    <t xml:space="preserve">Netac Basic NTBSD3P16SP-08 (в блистере)</t>
  </si>
  <si>
    <t xml:space="preserve">U-DIMM DDR3-1600, 8 ГБ, CL11 (11-11-11-28), 1.5 В, QC 2343</t>
  </si>
  <si>
    <t xml:space="preserve">DIMM 240-pin</t>
  </si>
  <si>
    <t xml:space="preserve">НЕ ПОДХОДИТ к парку</t>
  </si>
  <si>
    <t xml:space="preserve">ThinkCentre — DDR4; сборка №7 — SO-DIMM. Хранить как запчасть для сторонних ПК или списать.</t>
  </si>
  <si>
    <t xml:space="preserve">Netac Basic NTBSD3P16SP-08</t>
  </si>
  <si>
    <t xml:space="preserve">U-DIMM DDR3-1600, 8 ГБ, CL11, 1.5 В, чипы SK hynix H5TC4G83BFR, S/N WCBP005343T</t>
  </si>
  <si>
    <t xml:space="preserve">Составляет пару с поз. 17 (одна партия, QC 2350).</t>
  </si>
  <si>
    <t xml:space="preserve">U-DIMM DDR3-1600, 8 ГБ, CL11, 1.5 В, чипы SK hynix H5TC4G83BFR, S/N WCBP005341T</t>
  </si>
  <si>
    <t xml:space="preserve">Пара к поз. 16.</t>
  </si>
  <si>
    <t xml:space="preserve">Foxline FL1600D3U11S-4G</t>
  </si>
  <si>
    <t xml:space="preserve">DDR3-1600, 4 ГБ, CL11</t>
  </si>
  <si>
    <t xml:space="preserve">Полноразмерный DIMM DDR3.</t>
  </si>
  <si>
    <t xml:space="preserve">Kingston KVR16N11S8/4</t>
  </si>
  <si>
    <t xml:space="preserve">DDR3-1600, 4 ГБ, 1.5 В, single rank x8, 99U5584-005.A00LF</t>
  </si>
  <si>
    <t xml:space="preserve">ИТОГО ПАМЯТИ В РОССЫПИ</t>
  </si>
  <si>
    <t xml:space="preserve">DDR4 DIMM (подходит к ThinkCentre и H310M): 8 ГБ Patriot (поз. 5) + блистер с расхождением (поз. 6). Итого 8–16 ГБ.</t>
  </si>
  <si>
    <t xml:space="preserve">DDR3 SO-DIMM (подходит к ПК №7): 4 планки по 4 ГБ = 16 ГБ. Платформа берёт максимум 8 ГБ, остальное — резерв.</t>
  </si>
  <si>
    <t xml:space="preserve">DDR3 DIMM (не подходит ни к чему в парке): 3 × 8 ГБ Netac + 4 ГБ Foxline + 4 ГБ Kingston + 2 ГБ Silicon Power = 34 ГБ неликвида.</t>
  </si>
  <si>
    <t xml:space="preserve">Справочник совместимости памяти по парку</t>
  </si>
  <si>
    <t xml:space="preserve">ThinkCentre M715s (ПК №1–6): DDR4 UDIMM 288-pin non-ECC, 4 слота, до 64 ГБ. Контроллер A8-8670E ограничен 2400 МГц.</t>
  </si>
  <si>
    <t xml:space="preserve">GIGABYTE H310M S2V 2.0 (поз. 3): DDR4 DIMM 288-pin, 2 слота, до 32 ГБ. С i3-8100 частота ограничена 2400 МГц.</t>
  </si>
  <si>
    <t xml:space="preserve">Сборка №7 (платы GA-J1800N-D2H и ASUS J1800I-C): DDR3/DDR3L SO-DIMM 204-pin, 2 слота, до 8 ГБ. Модули &gt;1.35 В работают на 1.35 В. DDR3-1066 не поддерживается.</t>
  </si>
  <si>
    <t xml:space="preserve">DDR3 и DDR4 механически несовместимы. SO-DIMM 204-pin в полноразмерный слот 240-pin не встаёт.</t>
  </si>
  <si>
    <t xml:space="preserve">ВОЗМОЖНЫЕ СБОРКИ из найденных комплектующих</t>
  </si>
  <si>
    <t xml:space="preserve">СБОРКА А (рабочая станция): плата H310M S2V 2.0 (поз. 3) + i3-8100 (поз. 4) + ОЗУ Patriot 8 ГБ (поз. 5) + SSD Foxline 240 ГБ (поз. 8) + видеокарта GT 1030 (поз. 10). GT 1030 добавляет HDMI, которого нет на плате. Не хватает: корпус micro-ATX, БП, кулер LGA1151.</t>
  </si>
  <si>
    <t xml:space="preserve">СБОРКА Б (ПК №7, тихий сервер): пара Patriot PSD34G13332S (поз. 12 и 13) = 8 ГБ, максимум для J1800, обе из одной партии, частота 1333 родная. Плюс SSD из поз. 7 или 9 вместо HDD 2017 г. Докупать ничего не нужно.</t>
  </si>
  <si>
    <t xml:space="preserve">ПК №1 (ThinkCentre без ОЗУ): планка Patriot DDR4 8 ГБ (поз. 5). Докупать ничего не нужно.</t>
  </si>
  <si>
    <t xml:space="preserve">Лист заполняется по мере поступления фото. Позиции 1–19 внесены. Количество по поз. 1 уточнить (возможно 2 шт.).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</si>
</sst>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1F3864"/>
      <name val="Arial"/>
      <family val="0"/>
      <charset val="1"/>
    </font>
    <font>
      <i val="true"/>
      <sz val="9"/>
      <color rgb="FF9C57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34"/>
    <col collapsed="false" customWidth="true" hidden="false" outlineLevel="0" max="6" min="6" style="1" width="30"/>
    <col collapsed="false" customWidth="true" hidden="false" outlineLevel="0" max="7" min="7" style="1" width="20"/>
    <col collapsed="false" customWidth="true" hidden="false" outlineLevel="0" max="8" min="8" style="1" width="8"/>
    <col collapsed="false" customWidth="true" hidden="false" outlineLevel="0" max="9" min="9" style="1" width="22"/>
    <col collapsed="false" customWidth="true" hidden="false" outlineLevel="0" max="10" min="10" style="1" width="30"/>
    <col collapsed="false" customWidth="true" hidden="false" outlineLevel="0" max="11" min="11" style="1" width="20"/>
    <col collapsed="false" customWidth="true" hidden="false" outlineLevel="0" max="12" min="12" style="1" width="22"/>
    <col collapsed="false" customWidth="true" hidden="false" outlineLevel="0" max="13" min="13" style="1" width="30"/>
    <col collapsed="false" customWidth="true" hidden="false" outlineLevel="0" max="14" min="14" style="1" width="24"/>
    <col collapsed="false" customWidth="true" hidden="false" outlineLevel="0" max="15" min="15" style="1" width="20"/>
    <col collapsed="false" customWidth="true" hidden="false" outlineLevel="0" max="16" min="16" style="1" width="24"/>
    <col collapsed="false" customWidth="true" hidden="false" outlineLevel="0" max="17" min="17" style="1" width="30"/>
    <col collapsed="false" customWidth="true" hidden="false" outlineLevel="0" max="18" min="18" style="1" width="38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57.75" hidden="false" customHeight="true" outlineLevel="0" collapsed="false">
      <c r="A2" s="3" t="n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5" t="s">
        <v>32</v>
      </c>
      <c r="Q2" s="3" t="s">
        <v>33</v>
      </c>
      <c r="R2" s="3" t="s">
        <v>34</v>
      </c>
    </row>
    <row r="3" customFormat="false" ht="57.75" hidden="false" customHeight="true" outlineLevel="0" collapsed="false">
      <c r="A3" s="3" t="n">
        <v>2</v>
      </c>
      <c r="B3" s="3" t="s">
        <v>35</v>
      </c>
      <c r="C3" s="3" t="s">
        <v>19</v>
      </c>
      <c r="D3" s="3" t="s">
        <v>20</v>
      </c>
      <c r="E3" s="3" t="s">
        <v>36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37</v>
      </c>
      <c r="K3" s="3" t="s">
        <v>27</v>
      </c>
      <c r="L3" s="3" t="s">
        <v>28</v>
      </c>
      <c r="M3" s="3" t="s">
        <v>38</v>
      </c>
      <c r="N3" s="3" t="s">
        <v>39</v>
      </c>
      <c r="O3" s="3" t="s">
        <v>31</v>
      </c>
      <c r="P3" s="5" t="s">
        <v>40</v>
      </c>
      <c r="Q3" s="3" t="s">
        <v>41</v>
      </c>
      <c r="R3" s="3" t="s">
        <v>42</v>
      </c>
    </row>
    <row r="4" customFormat="false" ht="57.75" hidden="false" customHeight="true" outlineLevel="0" collapsed="false">
      <c r="A4" s="3" t="n">
        <v>3</v>
      </c>
      <c r="B4" s="6" t="s">
        <v>43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37</v>
      </c>
      <c r="K4" s="3" t="s">
        <v>27</v>
      </c>
      <c r="L4" s="3" t="s">
        <v>28</v>
      </c>
      <c r="M4" s="3" t="s">
        <v>38</v>
      </c>
      <c r="N4" s="3" t="s">
        <v>44</v>
      </c>
      <c r="O4" s="3" t="s">
        <v>31</v>
      </c>
      <c r="P4" s="3" t="s">
        <v>45</v>
      </c>
      <c r="Q4" s="3" t="s">
        <v>46</v>
      </c>
      <c r="R4" s="3" t="s">
        <v>47</v>
      </c>
    </row>
    <row r="5" customFormat="false" ht="57.75" hidden="false" customHeight="true" outlineLevel="0" collapsed="false">
      <c r="A5" s="3" t="n">
        <v>4</v>
      </c>
      <c r="B5" s="6" t="s">
        <v>43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37</v>
      </c>
      <c r="K5" s="3" t="s">
        <v>27</v>
      </c>
      <c r="L5" s="3" t="s">
        <v>28</v>
      </c>
      <c r="M5" s="3" t="s">
        <v>38</v>
      </c>
      <c r="N5" s="3" t="s">
        <v>48</v>
      </c>
      <c r="O5" s="3" t="s">
        <v>31</v>
      </c>
      <c r="P5" s="3" t="s">
        <v>45</v>
      </c>
      <c r="Q5" s="3" t="s">
        <v>46</v>
      </c>
      <c r="R5" s="3" t="s">
        <v>49</v>
      </c>
    </row>
    <row r="6" customFormat="false" ht="57.75" hidden="false" customHeight="true" outlineLevel="0" collapsed="false">
      <c r="A6" s="3" t="n">
        <v>5</v>
      </c>
      <c r="B6" s="6" t="s">
        <v>43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50</v>
      </c>
      <c r="K6" s="3" t="s">
        <v>27</v>
      </c>
      <c r="L6" s="3" t="s">
        <v>28</v>
      </c>
      <c r="M6" s="3" t="s">
        <v>29</v>
      </c>
      <c r="N6" s="3" t="s">
        <v>51</v>
      </c>
      <c r="O6" s="3" t="s">
        <v>31</v>
      </c>
      <c r="P6" s="3" t="s">
        <v>45</v>
      </c>
      <c r="Q6" s="3" t="s">
        <v>46</v>
      </c>
      <c r="R6" s="3" t="s">
        <v>52</v>
      </c>
    </row>
    <row r="7" customFormat="false" ht="57.75" hidden="false" customHeight="true" outlineLevel="0" collapsed="false">
      <c r="A7" s="3" t="n">
        <v>6</v>
      </c>
      <c r="B7" s="6" t="s">
        <v>43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24</v>
      </c>
      <c r="I7" s="3" t="s">
        <v>25</v>
      </c>
      <c r="J7" s="3" t="s">
        <v>53</v>
      </c>
      <c r="K7" s="3" t="s">
        <v>27</v>
      </c>
      <c r="L7" s="3" t="s">
        <v>28</v>
      </c>
      <c r="M7" s="3" t="s">
        <v>38</v>
      </c>
      <c r="N7" s="3" t="s">
        <v>54</v>
      </c>
      <c r="O7" s="3" t="s">
        <v>31</v>
      </c>
      <c r="P7" s="3" t="s">
        <v>45</v>
      </c>
      <c r="Q7" s="3" t="s">
        <v>46</v>
      </c>
      <c r="R7" s="3" t="s">
        <v>55</v>
      </c>
    </row>
    <row r="8" customFormat="false" ht="57.75" hidden="false" customHeight="true" outlineLevel="0" collapsed="false">
      <c r="A8" s="3" t="n">
        <v>7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3" t="s">
        <v>63</v>
      </c>
      <c r="J8" s="4" t="s">
        <v>26</v>
      </c>
      <c r="K8" s="3" t="s">
        <v>64</v>
      </c>
      <c r="L8" s="3" t="s">
        <v>65</v>
      </c>
      <c r="M8" s="3" t="s">
        <v>66</v>
      </c>
      <c r="N8" s="3" t="s">
        <v>67</v>
      </c>
      <c r="O8" s="3" t="s">
        <v>68</v>
      </c>
      <c r="P8" s="4" t="s">
        <v>69</v>
      </c>
      <c r="Q8" s="3" t="s">
        <v>70</v>
      </c>
      <c r="R8" s="3" t="s">
        <v>71</v>
      </c>
    </row>
    <row r="10" customFormat="false" ht="15" hidden="false" customHeight="true" outlineLevel="0" collapsed="false">
      <c r="A10" s="7" t="s">
        <v>72</v>
      </c>
    </row>
    <row r="11" customFormat="false" ht="15" hidden="false" customHeight="true" outlineLevel="0" collapsed="false">
      <c r="A11" s="8" t="s">
        <v>73</v>
      </c>
      <c r="C11" s="9" t="n">
        <f aca="false">COUNTA(A2:A8)</f>
        <v>7</v>
      </c>
    </row>
    <row r="12" customFormat="false" ht="15" hidden="false" customHeight="true" outlineLevel="0" collapsed="false">
      <c r="A12" s="8" t="s">
        <v>74</v>
      </c>
      <c r="C12" s="9" t="n">
        <f aca="false">COUNTIF(C2:C8,"Lenovo*")</f>
        <v>6</v>
      </c>
    </row>
    <row r="13" customFormat="false" ht="15" hidden="false" customHeight="true" outlineLevel="0" collapsed="false">
      <c r="A13" s="8" t="s">
        <v>75</v>
      </c>
      <c r="C13" s="9" t="n">
        <f aca="false">COUNTIF(J2:J8,"Нет")</f>
        <v>2</v>
      </c>
    </row>
    <row r="14" customFormat="false" ht="15" hidden="false" customHeight="true" outlineLevel="0" collapsed="false">
      <c r="A14" s="8" t="s">
        <v>76</v>
      </c>
      <c r="C14" s="9" t="n">
        <f aca="false">COUNTIF(B2:B8,"НЕ ЗАФИКСИРОВАН")</f>
        <v>4</v>
      </c>
    </row>
    <row r="15" customFormat="false" ht="15" hidden="false" customHeight="true" outlineLevel="0" collapsed="false">
      <c r="A15" s="8" t="s">
        <v>77</v>
      </c>
      <c r="C15" s="9" t="n">
        <v>40</v>
      </c>
    </row>
    <row r="16" customFormat="false" ht="15" hidden="false" customHeight="true" outlineLevel="0" collapsed="false">
      <c r="A16" s="10" t="s">
        <v>78</v>
      </c>
    </row>
  </sheetData>
  <autoFilter ref="A1:R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38"/>
    <col collapsed="false" customWidth="true" hidden="false" outlineLevel="0" max="5" min="5" style="1" width="14"/>
    <col collapsed="false" customWidth="true" hidden="false" outlineLevel="0" max="6" min="6" style="1" width="52"/>
  </cols>
  <sheetData>
    <row r="1" customFormat="false" ht="31.5" hidden="false" customHeight="true" outlineLevel="0" collapsed="false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</row>
    <row r="2" customFormat="false" ht="42" hidden="false" customHeight="true" outlineLevel="0" collapsed="false">
      <c r="A2" s="3" t="s">
        <v>85</v>
      </c>
      <c r="B2" s="3" t="s">
        <v>86</v>
      </c>
      <c r="C2" s="3" t="n">
        <v>1</v>
      </c>
      <c r="D2" s="3" t="s">
        <v>87</v>
      </c>
      <c r="E2" s="11" t="s">
        <v>88</v>
      </c>
      <c r="F2" s="3" t="s">
        <v>89</v>
      </c>
    </row>
    <row r="3" customFormat="false" ht="42" hidden="false" customHeight="true" outlineLevel="0" collapsed="false">
      <c r="A3" s="3" t="s">
        <v>90</v>
      </c>
      <c r="B3" s="3" t="s">
        <v>91</v>
      </c>
      <c r="C3" s="3" t="s">
        <v>92</v>
      </c>
      <c r="D3" s="3" t="s">
        <v>93</v>
      </c>
      <c r="E3" s="11" t="s">
        <v>88</v>
      </c>
      <c r="F3" s="3" t="s">
        <v>94</v>
      </c>
    </row>
    <row r="4" customFormat="false" ht="42" hidden="false" customHeight="true" outlineLevel="0" collapsed="false">
      <c r="A4" s="3" t="s">
        <v>95</v>
      </c>
      <c r="B4" s="3" t="s">
        <v>96</v>
      </c>
      <c r="C4" s="3" t="n">
        <v>1</v>
      </c>
      <c r="D4" s="3" t="s">
        <v>97</v>
      </c>
      <c r="E4" s="4" t="s">
        <v>98</v>
      </c>
      <c r="F4" s="3" t="s">
        <v>99</v>
      </c>
    </row>
    <row r="5" customFormat="false" ht="42" hidden="false" customHeight="true" outlineLevel="0" collapsed="false">
      <c r="A5" s="3" t="s">
        <v>100</v>
      </c>
      <c r="B5" s="3" t="s">
        <v>101</v>
      </c>
      <c r="C5" s="3" t="s">
        <v>102</v>
      </c>
      <c r="D5" s="3" t="s">
        <v>103</v>
      </c>
      <c r="E5" s="11" t="s">
        <v>104</v>
      </c>
      <c r="F5" s="3" t="s">
        <v>105</v>
      </c>
    </row>
    <row r="6" customFormat="false" ht="42" hidden="false" customHeight="true" outlineLevel="0" collapsed="false">
      <c r="A6" s="3" t="s">
        <v>106</v>
      </c>
      <c r="B6" s="3" t="s">
        <v>107</v>
      </c>
      <c r="C6" s="3" t="n">
        <v>1</v>
      </c>
      <c r="D6" s="3" t="s">
        <v>108</v>
      </c>
      <c r="E6" s="11" t="s">
        <v>88</v>
      </c>
      <c r="F6" s="3" t="s">
        <v>109</v>
      </c>
    </row>
    <row r="7" customFormat="false" ht="43.5" hidden="false" customHeight="true" outlineLevel="0" collapsed="false">
      <c r="A7" s="3" t="s">
        <v>110</v>
      </c>
      <c r="B7" s="3" t="s">
        <v>111</v>
      </c>
      <c r="C7" s="3" t="s">
        <v>112</v>
      </c>
      <c r="D7" s="3" t="s">
        <v>113</v>
      </c>
      <c r="E7" s="4" t="s">
        <v>98</v>
      </c>
      <c r="F7" s="3" t="s">
        <v>114</v>
      </c>
    </row>
    <row r="8" customFormat="false" ht="43.5" hidden="false" customHeight="true" outlineLevel="0" collapsed="false">
      <c r="A8" s="3" t="s">
        <v>115</v>
      </c>
      <c r="B8" s="3" t="s">
        <v>116</v>
      </c>
      <c r="C8" s="3" t="n">
        <v>1</v>
      </c>
      <c r="D8" s="3" t="s">
        <v>117</v>
      </c>
      <c r="E8" s="11" t="s">
        <v>104</v>
      </c>
      <c r="F8" s="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48"/>
    <col collapsed="false" customWidth="true" hidden="false" outlineLevel="0" max="4" min="4" style="1" width="34"/>
    <col collapsed="false" customWidth="true" hidden="false" outlineLevel="0" max="5" min="5" style="1" width="46"/>
  </cols>
  <sheetData>
    <row r="1" customFormat="false" ht="31.5" hidden="false" customHeight="true" outlineLevel="0" collapsed="false">
      <c r="A1" s="2" t="s">
        <v>119</v>
      </c>
      <c r="B1" s="2" t="s">
        <v>120</v>
      </c>
      <c r="C1" s="2" t="s">
        <v>121</v>
      </c>
      <c r="D1" s="2" t="s">
        <v>122</v>
      </c>
      <c r="E1" s="2" t="s">
        <v>123</v>
      </c>
    </row>
    <row r="2" customFormat="false" ht="55.5" hidden="false" customHeight="true" outlineLevel="0" collapsed="false">
      <c r="A2" s="3" t="s">
        <v>124</v>
      </c>
      <c r="B2" s="3" t="s">
        <v>125</v>
      </c>
      <c r="C2" s="3" t="s">
        <v>126</v>
      </c>
      <c r="D2" s="3" t="s">
        <v>127</v>
      </c>
      <c r="E2" s="3" t="s">
        <v>128</v>
      </c>
    </row>
    <row r="3" customFormat="false" ht="55.5" hidden="false" customHeight="true" outlineLevel="0" collapsed="false">
      <c r="A3" s="3" t="s">
        <v>129</v>
      </c>
      <c r="B3" s="3" t="s">
        <v>130</v>
      </c>
      <c r="C3" s="3" t="s">
        <v>131</v>
      </c>
      <c r="D3" s="3" t="s">
        <v>131</v>
      </c>
      <c r="E3" s="3" t="s">
        <v>132</v>
      </c>
    </row>
    <row r="4" customFormat="false" ht="55.5" hidden="false" customHeight="true" outlineLevel="0" collapsed="false">
      <c r="A4" s="3" t="s">
        <v>133</v>
      </c>
      <c r="B4" s="3" t="s">
        <v>130</v>
      </c>
      <c r="C4" s="3" t="s">
        <v>134</v>
      </c>
      <c r="D4" s="3" t="s">
        <v>127</v>
      </c>
      <c r="E4" s="3" t="s">
        <v>135</v>
      </c>
    </row>
    <row r="5" customFormat="false" ht="55.5" hidden="false" customHeight="true" outlineLevel="0" collapsed="false">
      <c r="A5" s="3" t="s">
        <v>136</v>
      </c>
      <c r="B5" s="3" t="s">
        <v>137</v>
      </c>
      <c r="C5" s="3" t="s">
        <v>138</v>
      </c>
      <c r="D5" s="3" t="s">
        <v>139</v>
      </c>
      <c r="E5" s="3" t="s">
        <v>140</v>
      </c>
    </row>
    <row r="7" customFormat="false" ht="15" hidden="false" customHeight="true" outlineLevel="0" collapsed="false">
      <c r="A7" s="8" t="s">
        <v>141</v>
      </c>
    </row>
    <row r="8" customFormat="false" ht="30" hidden="false" customHeight="true" outlineLevel="0" collapsed="false">
      <c r="A8" s="12" t="s">
        <v>142</v>
      </c>
      <c r="B8" s="12"/>
      <c r="C8" s="12"/>
      <c r="D8" s="12"/>
      <c r="E8" s="12"/>
    </row>
    <row r="9" customFormat="false" ht="30" hidden="false" customHeight="true" outlineLevel="0" collapsed="false">
      <c r="A9" s="12" t="s">
        <v>143</v>
      </c>
      <c r="B9" s="12"/>
      <c r="C9" s="12"/>
      <c r="D9" s="12"/>
      <c r="E9" s="12"/>
    </row>
    <row r="10" customFormat="false" ht="30" hidden="false" customHeight="true" outlineLevel="0" collapsed="false">
      <c r="A10" s="12" t="s">
        <v>144</v>
      </c>
      <c r="B10" s="12"/>
      <c r="C10" s="12"/>
      <c r="D10" s="12"/>
      <c r="E10" s="12"/>
    </row>
    <row r="11" customFormat="false" ht="30" hidden="false" customHeight="true" outlineLevel="0" collapsed="false">
      <c r="A11" s="12" t="s">
        <v>145</v>
      </c>
      <c r="B11" s="12"/>
      <c r="C11" s="12"/>
      <c r="D11" s="12"/>
      <c r="E11" s="12"/>
    </row>
  </sheetData>
  <mergeCells count="4">
    <mergeCell ref="A8:E8"/>
    <mergeCell ref="A9:E9"/>
    <mergeCell ref="A10:E10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38"/>
    <col collapsed="false" customWidth="true" hidden="false" outlineLevel="0" max="5" min="5" style="1" width="30"/>
    <col collapsed="false" customWidth="true" hidden="false" outlineLevel="0" max="6" min="6" style="1" width="9"/>
    <col collapsed="false" customWidth="true" hidden="false" outlineLevel="0" max="7" min="7" style="1" width="16"/>
    <col collapsed="false" customWidth="true" hidden="false" outlineLevel="0" max="8" min="8" style="1" width="30"/>
    <col collapsed="false" customWidth="true" hidden="false" outlineLevel="0" max="9" min="9" style="1" width="56"/>
  </cols>
  <sheetData>
    <row r="1" customFormat="false" ht="33.75" hidden="false" customHeight="true" outlineLevel="0" collapsed="false">
      <c r="A1" s="2" t="s">
        <v>0</v>
      </c>
      <c r="B1" s="2" t="s">
        <v>146</v>
      </c>
      <c r="C1" s="2" t="s">
        <v>147</v>
      </c>
      <c r="D1" s="2" t="s">
        <v>148</v>
      </c>
      <c r="E1" s="2" t="s">
        <v>3</v>
      </c>
      <c r="F1" s="2" t="s">
        <v>81</v>
      </c>
      <c r="G1" s="2" t="s">
        <v>15</v>
      </c>
      <c r="H1" s="2" t="s">
        <v>149</v>
      </c>
      <c r="I1" s="2" t="s">
        <v>150</v>
      </c>
    </row>
    <row r="2" customFormat="false" ht="54" hidden="false" customHeight="true" outlineLevel="0" collapsed="false">
      <c r="A2" s="3" t="n">
        <v>1</v>
      </c>
      <c r="B2" s="3" t="s">
        <v>151</v>
      </c>
      <c r="C2" s="3" t="s">
        <v>152</v>
      </c>
      <c r="D2" s="3" t="s">
        <v>153</v>
      </c>
      <c r="E2" s="3" t="s">
        <v>154</v>
      </c>
      <c r="F2" s="5" t="s">
        <v>155</v>
      </c>
      <c r="G2" s="3" t="s">
        <v>156</v>
      </c>
      <c r="H2" s="4" t="s">
        <v>157</v>
      </c>
      <c r="I2" s="3" t="s">
        <v>158</v>
      </c>
    </row>
    <row r="3" customFormat="false" ht="61.5" hidden="false" customHeight="true" outlineLevel="0" collapsed="false">
      <c r="A3" s="3" t="n">
        <v>2</v>
      </c>
      <c r="B3" s="3" t="s">
        <v>159</v>
      </c>
      <c r="C3" s="3" t="s">
        <v>160</v>
      </c>
      <c r="D3" s="3" t="s">
        <v>161</v>
      </c>
      <c r="E3" s="3" t="s">
        <v>162</v>
      </c>
      <c r="F3" s="3" t="n">
        <v>1</v>
      </c>
      <c r="G3" s="3" t="s">
        <v>163</v>
      </c>
      <c r="H3" s="4" t="s">
        <v>164</v>
      </c>
      <c r="I3" s="3" t="s">
        <v>165</v>
      </c>
    </row>
    <row r="4" customFormat="false" ht="61.5" hidden="false" customHeight="true" outlineLevel="0" collapsed="false">
      <c r="A4" s="3" t="n">
        <v>3</v>
      </c>
      <c r="B4" s="3" t="s">
        <v>4</v>
      </c>
      <c r="C4" s="3" t="s">
        <v>166</v>
      </c>
      <c r="D4" s="3" t="s">
        <v>167</v>
      </c>
      <c r="E4" s="3" t="s">
        <v>168</v>
      </c>
      <c r="F4" s="3" t="n">
        <v>1</v>
      </c>
      <c r="G4" s="3" t="s">
        <v>169</v>
      </c>
      <c r="H4" s="11" t="s">
        <v>170</v>
      </c>
      <c r="I4" s="3" t="s">
        <v>171</v>
      </c>
    </row>
    <row r="5" customFormat="false" ht="61.5" hidden="false" customHeight="true" outlineLevel="0" collapsed="false">
      <c r="A5" s="3" t="n">
        <v>4</v>
      </c>
      <c r="B5" s="3" t="s">
        <v>5</v>
      </c>
      <c r="C5" s="3" t="s">
        <v>172</v>
      </c>
      <c r="D5" s="3" t="s">
        <v>173</v>
      </c>
      <c r="E5" s="3" t="s">
        <v>174</v>
      </c>
      <c r="F5" s="3" t="n">
        <v>1</v>
      </c>
      <c r="G5" s="3" t="s">
        <v>175</v>
      </c>
      <c r="H5" s="11" t="s">
        <v>176</v>
      </c>
      <c r="I5" s="3" t="s">
        <v>177</v>
      </c>
    </row>
    <row r="6" customFormat="false" ht="61.5" hidden="false" customHeight="true" outlineLevel="0" collapsed="false">
      <c r="A6" s="3" t="n">
        <v>5</v>
      </c>
      <c r="B6" s="3" t="s">
        <v>151</v>
      </c>
      <c r="C6" s="3" t="s">
        <v>178</v>
      </c>
      <c r="D6" s="3" t="s">
        <v>179</v>
      </c>
      <c r="E6" s="3" t="s">
        <v>180</v>
      </c>
      <c r="F6" s="3" t="n">
        <v>1</v>
      </c>
      <c r="G6" s="3" t="s">
        <v>181</v>
      </c>
      <c r="H6" s="11" t="s">
        <v>182</v>
      </c>
      <c r="I6" s="3" t="s">
        <v>183</v>
      </c>
    </row>
    <row r="7" customFormat="false" ht="61.5" hidden="false" customHeight="true" outlineLevel="0" collapsed="false">
      <c r="A7" s="3" t="n">
        <v>6</v>
      </c>
      <c r="B7" s="3" t="s">
        <v>151</v>
      </c>
      <c r="C7" s="3" t="s">
        <v>184</v>
      </c>
      <c r="D7" s="3" t="s">
        <v>185</v>
      </c>
      <c r="E7" s="3" t="s">
        <v>180</v>
      </c>
      <c r="F7" s="3" t="n">
        <v>1</v>
      </c>
      <c r="G7" s="5" t="s">
        <v>186</v>
      </c>
      <c r="H7" s="5" t="s">
        <v>187</v>
      </c>
      <c r="I7" s="5" t="s">
        <v>188</v>
      </c>
    </row>
    <row r="8" customFormat="false" ht="61.5" hidden="false" customHeight="true" outlineLevel="0" collapsed="false">
      <c r="A8" s="3" t="n">
        <v>7</v>
      </c>
      <c r="B8" s="3" t="s">
        <v>189</v>
      </c>
      <c r="C8" s="3" t="s">
        <v>190</v>
      </c>
      <c r="D8" s="3" t="s">
        <v>191</v>
      </c>
      <c r="E8" s="3" t="s">
        <v>108</v>
      </c>
      <c r="F8" s="3" t="n">
        <v>1</v>
      </c>
      <c r="G8" s="3" t="s">
        <v>192</v>
      </c>
      <c r="H8" s="11" t="s">
        <v>193</v>
      </c>
      <c r="I8" s="3" t="s">
        <v>194</v>
      </c>
    </row>
    <row r="9" customFormat="false" ht="61.5" hidden="false" customHeight="true" outlineLevel="0" collapsed="false">
      <c r="A9" s="3" t="n">
        <v>8</v>
      </c>
      <c r="B9" s="3" t="s">
        <v>189</v>
      </c>
      <c r="C9" s="3" t="s">
        <v>195</v>
      </c>
      <c r="D9" s="3" t="s">
        <v>196</v>
      </c>
      <c r="E9" s="3" t="s">
        <v>108</v>
      </c>
      <c r="F9" s="3" t="n">
        <v>1</v>
      </c>
      <c r="G9" s="3" t="s">
        <v>192</v>
      </c>
      <c r="H9" s="11" t="s">
        <v>193</v>
      </c>
      <c r="I9" s="3" t="s">
        <v>197</v>
      </c>
    </row>
    <row r="10" customFormat="false" ht="61.5" hidden="false" customHeight="true" outlineLevel="0" collapsed="false">
      <c r="A10" s="3" t="n">
        <v>9</v>
      </c>
      <c r="B10" s="3" t="s">
        <v>189</v>
      </c>
      <c r="C10" s="3" t="s">
        <v>198</v>
      </c>
      <c r="D10" s="3" t="s">
        <v>199</v>
      </c>
      <c r="E10" s="3" t="s">
        <v>108</v>
      </c>
      <c r="F10" s="3" t="n">
        <v>1</v>
      </c>
      <c r="G10" s="3" t="s">
        <v>192</v>
      </c>
      <c r="H10" s="11" t="s">
        <v>193</v>
      </c>
      <c r="I10" s="3" t="s">
        <v>200</v>
      </c>
    </row>
    <row r="11" customFormat="false" ht="61.5" hidden="false" customHeight="true" outlineLevel="0" collapsed="false">
      <c r="A11" s="3" t="n">
        <v>10</v>
      </c>
      <c r="B11" s="3" t="s">
        <v>201</v>
      </c>
      <c r="C11" s="3" t="s">
        <v>202</v>
      </c>
      <c r="D11" s="3" t="s">
        <v>203</v>
      </c>
      <c r="E11" s="3" t="s">
        <v>204</v>
      </c>
      <c r="F11" s="3" t="n">
        <v>1</v>
      </c>
      <c r="G11" s="5" t="s">
        <v>205</v>
      </c>
      <c r="H11" s="11" t="s">
        <v>206</v>
      </c>
      <c r="I11" s="3" t="s">
        <v>207</v>
      </c>
    </row>
    <row r="12" customFormat="false" ht="57.75" hidden="false" customHeight="true" outlineLevel="0" collapsed="false">
      <c r="A12" s="3" t="n">
        <v>11</v>
      </c>
      <c r="B12" s="3" t="s">
        <v>208</v>
      </c>
      <c r="C12" s="3" t="s">
        <v>209</v>
      </c>
      <c r="D12" s="3" t="s">
        <v>210</v>
      </c>
      <c r="E12" s="3" t="s">
        <v>211</v>
      </c>
      <c r="F12" s="3" t="n">
        <v>1</v>
      </c>
      <c r="G12" s="3" t="s">
        <v>212</v>
      </c>
      <c r="H12" s="11" t="s">
        <v>91</v>
      </c>
      <c r="I12" s="3" t="s">
        <v>213</v>
      </c>
    </row>
    <row r="13" customFormat="false" ht="57.75" hidden="false" customHeight="true" outlineLevel="0" collapsed="false">
      <c r="A13" s="3" t="n">
        <v>12</v>
      </c>
      <c r="B13" s="3" t="s">
        <v>208</v>
      </c>
      <c r="C13" s="3" t="s">
        <v>214</v>
      </c>
      <c r="D13" s="3" t="s">
        <v>215</v>
      </c>
      <c r="E13" s="3" t="s">
        <v>211</v>
      </c>
      <c r="F13" s="3" t="n">
        <v>1</v>
      </c>
      <c r="G13" s="3" t="s">
        <v>212</v>
      </c>
      <c r="H13" s="11" t="s">
        <v>91</v>
      </c>
      <c r="I13" s="3" t="s">
        <v>216</v>
      </c>
    </row>
    <row r="14" customFormat="false" ht="57.75" hidden="false" customHeight="true" outlineLevel="0" collapsed="false">
      <c r="A14" s="3" t="n">
        <v>13</v>
      </c>
      <c r="B14" s="3" t="s">
        <v>208</v>
      </c>
      <c r="C14" s="3" t="s">
        <v>214</v>
      </c>
      <c r="D14" s="3" t="s">
        <v>217</v>
      </c>
      <c r="E14" s="3" t="s">
        <v>211</v>
      </c>
      <c r="F14" s="3" t="n">
        <v>1</v>
      </c>
      <c r="G14" s="3" t="s">
        <v>212</v>
      </c>
      <c r="H14" s="11" t="s">
        <v>91</v>
      </c>
      <c r="I14" s="3" t="s">
        <v>218</v>
      </c>
    </row>
    <row r="15" customFormat="false" ht="57.75" hidden="false" customHeight="true" outlineLevel="0" collapsed="false">
      <c r="A15" s="3" t="n">
        <v>14</v>
      </c>
      <c r="B15" s="3" t="s">
        <v>208</v>
      </c>
      <c r="C15" s="3" t="s">
        <v>219</v>
      </c>
      <c r="D15" s="3" t="s">
        <v>220</v>
      </c>
      <c r="E15" s="3" t="s">
        <v>211</v>
      </c>
      <c r="F15" s="3" t="n">
        <v>1</v>
      </c>
      <c r="G15" s="3" t="s">
        <v>212</v>
      </c>
      <c r="H15" s="11" t="s">
        <v>91</v>
      </c>
      <c r="I15" s="3" t="s">
        <v>221</v>
      </c>
    </row>
    <row r="16" customFormat="false" ht="57.75" hidden="false" customHeight="true" outlineLevel="0" collapsed="false">
      <c r="A16" s="3" t="n">
        <v>15</v>
      </c>
      <c r="B16" s="3" t="s">
        <v>222</v>
      </c>
      <c r="C16" s="3" t="s">
        <v>223</v>
      </c>
      <c r="D16" s="3" t="s">
        <v>224</v>
      </c>
      <c r="E16" s="3" t="s">
        <v>225</v>
      </c>
      <c r="F16" s="3" t="n">
        <v>1</v>
      </c>
      <c r="G16" s="3" t="s">
        <v>181</v>
      </c>
      <c r="H16" s="4" t="s">
        <v>226</v>
      </c>
      <c r="I16" s="3" t="s">
        <v>227</v>
      </c>
    </row>
    <row r="17" customFormat="false" ht="57.75" hidden="false" customHeight="true" outlineLevel="0" collapsed="false">
      <c r="A17" s="3" t="n">
        <v>16</v>
      </c>
      <c r="B17" s="3" t="s">
        <v>222</v>
      </c>
      <c r="C17" s="3" t="s">
        <v>228</v>
      </c>
      <c r="D17" s="3" t="s">
        <v>229</v>
      </c>
      <c r="E17" s="3" t="s">
        <v>225</v>
      </c>
      <c r="F17" s="3" t="n">
        <v>1</v>
      </c>
      <c r="G17" s="3" t="s">
        <v>212</v>
      </c>
      <c r="H17" s="4" t="s">
        <v>226</v>
      </c>
      <c r="I17" s="3" t="s">
        <v>230</v>
      </c>
    </row>
    <row r="18" customFormat="false" ht="57.75" hidden="false" customHeight="true" outlineLevel="0" collapsed="false">
      <c r="A18" s="3" t="n">
        <v>17</v>
      </c>
      <c r="B18" s="3" t="s">
        <v>222</v>
      </c>
      <c r="C18" s="3" t="s">
        <v>228</v>
      </c>
      <c r="D18" s="3" t="s">
        <v>231</v>
      </c>
      <c r="E18" s="3" t="s">
        <v>225</v>
      </c>
      <c r="F18" s="3" t="n">
        <v>1</v>
      </c>
      <c r="G18" s="3" t="s">
        <v>212</v>
      </c>
      <c r="H18" s="4" t="s">
        <v>226</v>
      </c>
      <c r="I18" s="3" t="s">
        <v>232</v>
      </c>
    </row>
    <row r="19" customFormat="false" ht="57.75" hidden="false" customHeight="true" outlineLevel="0" collapsed="false">
      <c r="A19" s="3" t="n">
        <v>18</v>
      </c>
      <c r="B19" s="3" t="s">
        <v>222</v>
      </c>
      <c r="C19" s="3" t="s">
        <v>233</v>
      </c>
      <c r="D19" s="3" t="s">
        <v>234</v>
      </c>
      <c r="E19" s="3" t="s">
        <v>225</v>
      </c>
      <c r="F19" s="3" t="n">
        <v>1</v>
      </c>
      <c r="G19" s="3" t="s">
        <v>212</v>
      </c>
      <c r="H19" s="4" t="s">
        <v>226</v>
      </c>
      <c r="I19" s="3" t="s">
        <v>235</v>
      </c>
    </row>
    <row r="20" customFormat="false" ht="57.75" hidden="false" customHeight="true" outlineLevel="0" collapsed="false">
      <c r="A20" s="3" t="n">
        <v>19</v>
      </c>
      <c r="B20" s="3" t="s">
        <v>222</v>
      </c>
      <c r="C20" s="3" t="s">
        <v>236</v>
      </c>
      <c r="D20" s="3" t="s">
        <v>237</v>
      </c>
      <c r="E20" s="3" t="s">
        <v>225</v>
      </c>
      <c r="F20" s="3" t="n">
        <v>1</v>
      </c>
      <c r="G20" s="3" t="s">
        <v>212</v>
      </c>
      <c r="H20" s="4" t="s">
        <v>226</v>
      </c>
      <c r="I20" s="3" t="s">
        <v>235</v>
      </c>
    </row>
    <row r="21" customFormat="false" ht="27.75" hidden="false" customHeight="true" outlineLevel="0" collapsed="false">
      <c r="A21" s="13"/>
      <c r="B21" s="14"/>
      <c r="C21" s="14"/>
      <c r="D21" s="14"/>
      <c r="E21" s="14"/>
      <c r="F21" s="14"/>
      <c r="G21" s="14"/>
      <c r="H21" s="14"/>
      <c r="I21" s="14"/>
    </row>
    <row r="22" customFormat="false" ht="27.75" hidden="false" customHeight="true" outlineLevel="0" collapsed="false">
      <c r="A22" s="15" t="s">
        <v>238</v>
      </c>
      <c r="B22" s="14"/>
      <c r="C22" s="14"/>
      <c r="D22" s="14"/>
      <c r="E22" s="14"/>
      <c r="F22" s="14"/>
      <c r="G22" s="14"/>
      <c r="H22" s="14"/>
      <c r="I22" s="14"/>
    </row>
    <row r="23" customFormat="false" ht="27.75" hidden="false" customHeight="true" outlineLevel="0" collapsed="false">
      <c r="A23" s="13" t="s">
        <v>239</v>
      </c>
      <c r="B23" s="13"/>
      <c r="C23" s="13"/>
      <c r="D23" s="13"/>
      <c r="E23" s="13"/>
      <c r="F23" s="13"/>
      <c r="G23" s="13"/>
      <c r="H23" s="13"/>
      <c r="I23" s="13"/>
    </row>
    <row r="24" customFormat="false" ht="27.75" hidden="false" customHeight="true" outlineLevel="0" collapsed="false">
      <c r="A24" s="13" t="s">
        <v>240</v>
      </c>
      <c r="B24" s="13"/>
      <c r="C24" s="13"/>
      <c r="D24" s="13"/>
      <c r="E24" s="13"/>
      <c r="F24" s="13"/>
      <c r="G24" s="13"/>
      <c r="H24" s="13"/>
      <c r="I24" s="13"/>
    </row>
    <row r="25" customFormat="false" ht="27.75" hidden="false" customHeight="true" outlineLevel="0" collapsed="false">
      <c r="A25" s="13" t="s">
        <v>241</v>
      </c>
      <c r="B25" s="13"/>
      <c r="C25" s="13"/>
      <c r="D25" s="13"/>
      <c r="E25" s="13"/>
      <c r="F25" s="13"/>
      <c r="G25" s="13"/>
      <c r="H25" s="13"/>
      <c r="I25" s="13"/>
    </row>
    <row r="26" customFormat="false" ht="15" hidden="false" customHeight="true" outlineLevel="0" collapsed="false">
      <c r="A26" s="16"/>
      <c r="B26" s="14"/>
      <c r="C26" s="14"/>
      <c r="D26" s="14"/>
      <c r="E26" s="14"/>
      <c r="F26" s="14"/>
      <c r="G26" s="14"/>
      <c r="H26" s="14"/>
      <c r="I26" s="14"/>
    </row>
    <row r="27" customFormat="false" ht="15" hidden="false" customHeight="false" outlineLevel="0" collapsed="false">
      <c r="A27" s="17" t="s">
        <v>242</v>
      </c>
    </row>
    <row r="28" customFormat="false" ht="27.75" hidden="false" customHeight="true" outlineLevel="0" collapsed="false">
      <c r="A28" s="12" t="s">
        <v>243</v>
      </c>
      <c r="B28" s="12"/>
      <c r="C28" s="12"/>
      <c r="D28" s="12"/>
      <c r="E28" s="12"/>
      <c r="F28" s="12"/>
      <c r="G28" s="12"/>
      <c r="H28" s="12"/>
      <c r="I28" s="12"/>
    </row>
    <row r="29" customFormat="false" ht="27.75" hidden="false" customHeight="true" outlineLevel="0" collapsed="false">
      <c r="A29" s="12" t="s">
        <v>244</v>
      </c>
      <c r="B29" s="12"/>
      <c r="C29" s="12"/>
      <c r="D29" s="12"/>
      <c r="E29" s="12"/>
      <c r="F29" s="12"/>
      <c r="G29" s="12"/>
      <c r="H29" s="12"/>
      <c r="I29" s="12"/>
    </row>
    <row r="30" customFormat="false" ht="27.75" hidden="false" customHeight="true" outlineLevel="0" collapsed="false">
      <c r="A30" s="12" t="s">
        <v>245</v>
      </c>
      <c r="B30" s="12"/>
      <c r="C30" s="12"/>
      <c r="D30" s="12"/>
      <c r="E30" s="12"/>
      <c r="F30" s="12"/>
      <c r="G30" s="12"/>
      <c r="H30" s="12"/>
      <c r="I30" s="12"/>
    </row>
    <row r="31" customFormat="false" ht="27.75" hidden="false" customHeight="true" outlineLevel="0" collapsed="false">
      <c r="A31" s="12" t="s">
        <v>246</v>
      </c>
      <c r="B31" s="12"/>
      <c r="C31" s="12"/>
      <c r="D31" s="12"/>
      <c r="E31" s="12"/>
      <c r="F31" s="12"/>
      <c r="G31" s="12"/>
      <c r="H31" s="12"/>
      <c r="I31" s="12"/>
    </row>
    <row r="33" customFormat="false" ht="15" hidden="false" customHeight="false" outlineLevel="0" collapsed="false">
      <c r="A33" s="17" t="s">
        <v>247</v>
      </c>
    </row>
    <row r="34" customFormat="false" ht="39.75" hidden="false" customHeight="true" outlineLevel="0" collapsed="false">
      <c r="A34" s="13" t="s">
        <v>248</v>
      </c>
      <c r="B34" s="13"/>
      <c r="C34" s="13"/>
      <c r="D34" s="13"/>
      <c r="E34" s="13"/>
      <c r="F34" s="13"/>
      <c r="G34" s="13"/>
      <c r="H34" s="13"/>
      <c r="I34" s="13"/>
    </row>
    <row r="35" customFormat="false" ht="39.75" hidden="false" customHeight="true" outlineLevel="0" collapsed="false">
      <c r="A35" s="13" t="s">
        <v>249</v>
      </c>
      <c r="B35" s="13"/>
      <c r="C35" s="13"/>
      <c r="D35" s="13"/>
      <c r="E35" s="13"/>
      <c r="F35" s="13"/>
      <c r="G35" s="13"/>
      <c r="H35" s="13"/>
      <c r="I35" s="13"/>
    </row>
    <row r="36" customFormat="false" ht="39.75" hidden="false" customHeight="true" outlineLevel="0" collapsed="false">
      <c r="A36" s="13" t="s">
        <v>250</v>
      </c>
      <c r="B36" s="13"/>
      <c r="C36" s="13"/>
      <c r="D36" s="13"/>
      <c r="E36" s="13"/>
      <c r="F36" s="13"/>
      <c r="G36" s="13"/>
      <c r="H36" s="13"/>
      <c r="I36" s="13"/>
    </row>
    <row r="38" customFormat="false" ht="15" hidden="false" customHeight="false" outlineLevel="0" collapsed="false">
      <c r="A38" s="18" t="s">
        <v>251</v>
      </c>
      <c r="B38" s="18"/>
      <c r="C38" s="18"/>
      <c r="D38" s="18"/>
      <c r="E38" s="18"/>
      <c r="F38" s="18"/>
      <c r="G38" s="18"/>
      <c r="H38" s="18"/>
      <c r="I38" s="18"/>
    </row>
  </sheetData>
  <autoFilter ref="A1:I20"/>
  <mergeCells count="11">
    <mergeCell ref="A23:I23"/>
    <mergeCell ref="A24:I24"/>
    <mergeCell ref="A25:I25"/>
    <mergeCell ref="A28:I28"/>
    <mergeCell ref="A29:I29"/>
    <mergeCell ref="A30:I30"/>
    <mergeCell ref="A31:I31"/>
    <mergeCell ref="A34:I34"/>
    <mergeCell ref="A35:I35"/>
    <mergeCell ref="A36:I36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2026-08-13T12:11:37Z</dcterms:created>
  <dc:creator>openpyxl</dc:creator>
  <dc:description/>
  <dc:language>en-US</dc:language>
  <cp:lastModifiedBy/>
  <dcterms:modified xsi:type="dcterms:W3CDTF">2026-08-13T12:42:43Z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